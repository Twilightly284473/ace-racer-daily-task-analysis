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cc62d7607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b6311f103d24c4b"/>
    <x:sheet xmlns:r="http://schemas.openxmlformats.org/officeDocument/2006/relationships" name="任务配置" sheetId="2" r:id="R55222cd7a0dc4718"/>
    <x:sheet xmlns:r="http://schemas.openxmlformats.org/officeDocument/2006/relationships" name="完成路径" sheetId="3" r:id="R868530b1866f4789"/>
    <x:sheet xmlns:r="http://schemas.openxmlformats.org/officeDocument/2006/relationships" name="数据来源" sheetId="4" r:id="R986f09b57988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"/>
    <x:numFmt numFmtId="203" formatCode="0.0%"/>
  </x:numFmts>
  <x:fonts count="9">
    <x:font>
      <x:sz val="11"/>
      <x:name val="Carlito"/>
    </x:font>
    <x:font>
      <x:sz val="10"/>
      <x:color rgb="FF1F2937"/>
      <x:name val="Microsoft YaHei"/>
    </x:font>
    <x:font>
      <x:b/>
      <x:sz val="16"/>
      <x:color rgb="FF1F2937"/>
      <x:name val="Microsoft YaHei"/>
    </x:font>
    <x:font>
      <x:i/>
      <x:sz val="9"/>
      <x:color rgb="FF667085"/>
      <x:name val="Microsoft YaHei"/>
    </x:font>
    <x:font>
      <x:b/>
      <x:sz val="10"/>
      <x:color rgb="FFFFFFFF"/>
      <x:name val="Microsoft YaHei"/>
    </x:font>
    <x:font>
      <x:sz val="10"/>
      <x:color rgb="FF7F6000"/>
      <x:name val="Microsoft YaHei"/>
    </x:font>
    <x:font>
      <x:i/>
      <x:sz val="10"/>
      <x:color rgb="FF667085"/>
      <x:name val="Microsoft YaHei"/>
    </x:font>
    <x:font>
      <x:b/>
      <x:sz val="10"/>
      <x:color rgb="FF17365D"/>
      <x:name val="Microsoft YaHei"/>
    </x:font>
    <x:font>
      <x:b/>
      <x:sz val="16"/>
      <x:color rgb="FF2F75B5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2">
    <x:border/>
    <x:border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6B800"/>
      </x:left>
      <x:top style="thin">
        <x:color rgb="FFE6B800"/>
      </x:top>
    </x:border>
    <x:border>
      <x:top style="thin">
        <x:color rgb="FFE6B800"/>
      </x:top>
    </x:border>
    <x:border>
      <x:right style="thin">
        <x:color rgb="FFE6B800"/>
      </x:right>
      <x:top style="thin">
        <x:color rgb="FFE6B800"/>
      </x:top>
    </x:border>
    <x:border>
      <x:left style="thin">
        <x:color rgb="FFE6B800"/>
      </x:left>
    </x:border>
    <x:border>
      <x:right style="thin">
        <x:color rgb="FFE6B800"/>
      </x:right>
    </x:border>
    <x:border>
      <x:left style="thin">
        <x:color rgb="FFE6B800"/>
      </x:left>
      <x:bottom style="thin">
        <x:color rgb="FFE6B800"/>
      </x:bottom>
    </x:border>
    <x:border>
      <x:bottom style="thin">
        <x:color rgb="FFE6B800"/>
      </x:bottom>
    </x:border>
    <x:border>
      <x:right style="thin">
        <x:color rgb="FFE6B800"/>
      </x:right>
      <x:bottom style="thin">
        <x:color rgb="FFE6B800"/>
      </x:bottom>
    </x:border>
    <x:border>
      <x:left style="thin">
        <x:color rgb="FFE6B800"/>
      </x:left>
      <x:bottom style="thin">
        <x:color rgb="FFD9E2F3"/>
      </x:bottom>
    </x:border>
    <x:border>
      <x:right style="thin">
        <x:color rgb="FFE6B800"/>
      </x:righ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E6B800"/>
      </x:left>
      <x:top style="thin">
        <x:color rgb="FFD9E2F3"/>
      </x:top>
      <x:bottom style="thin">
        <x:color rgb="FFD9E2F3"/>
      </x:bottom>
    </x:border>
    <x:border>
      <x:right style="thin">
        <x:color rgb="FFE6B800"/>
      </x:right>
      <x:top style="thin">
        <x:color rgb="FFD9E2F3"/>
      </x:top>
      <x:bottom style="thin">
        <x:color rgb="FFD9E2F3"/>
      </x:bottom>
    </x:border>
    <x:border>
      <x:left style="thin">
        <x:color rgb="FF2F75B5"/>
      </x:left>
      <x:top style="thin">
        <x:color rgb="FF2F75B5"/>
      </x:top>
    </x:border>
    <x:border>
      <x:right style="thin">
        <x:color rgb="FF2F75B5"/>
      </x:right>
      <x:top style="thin">
        <x:color rgb="FF2F75B5"/>
      </x:top>
    </x:border>
    <x:border>
      <x:left style="thin">
        <x:color rgb="FF2F75B5"/>
      </x:left>
    </x:border>
    <x:border>
      <x:right style="thin">
        <x:color rgb="FF2F75B5"/>
      </x:right>
    </x:border>
    <x:border>
      <x:left style="thin">
        <x:color rgb="FF2F75B5"/>
      </x:left>
      <x:bottom style="thin">
        <x:color rgb="FF2F75B5"/>
      </x:bottom>
    </x:border>
    <x:border>
      <x:right style="thin">
        <x:color rgb="FF2F75B5"/>
      </x:right>
      <x:bottom style="thin">
        <x:color rgb="FF2F75B5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5" fillId="3" borderId="14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0" fontId="5" fillId="3" borderId="15" xfId="0" applyNumberFormat="1" applyFont="1" applyFill="1" applyBorder="1" applyAlignment="1">
      <x:alignment vertical="center"/>
    </x:xf>
    <x:xf numFmtId="200" fontId="5" fillId="3" borderId="11" xfId="0" applyNumberFormat="1" applyFont="1" applyFill="1" applyBorder="1" applyAlignment="1">
      <x:alignment vertical="center"/>
    </x:xf>
    <x:xf numFmtId="200" fontId="5" fillId="3" borderId="14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1" fontId="5" fillId="3" borderId="12" xfId="0" applyNumberFormat="1" applyFont="1" applyFill="1" applyBorder="1" applyAlignment="1">
      <x:alignment vertical="center"/>
    </x:xf>
    <x:xf numFmtId="201" fontId="5" fillId="3" borderId="13" xfId="0" applyNumberFormat="1" applyFont="1" applyFill="1" applyBorder="1" applyAlignment="1">
      <x:alignment vertical="center"/>
    </x:xf>
    <x:xf numFmtId="201" fontId="5" fillId="3" borderId="15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1" fillId="0" borderId="1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6" xfId="0" applyNumberFormat="1" applyFont="1" applyFill="1" applyBorder="1" applyAlignment="1">
      <x:alignment horizontal="center" vertical="center" wrapText="1"/>
    </x:xf>
    <x:xf numFmtId="0" fontId="7" fillId="5" borderId="17" xfId="0" applyNumberFormat="1" applyFont="1" applyFill="1" applyBorder="1" applyAlignment="1">
      <x:alignment horizontal="center" vertic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3a06a53484386" /><Relationship Type="http://schemas.openxmlformats.org/officeDocument/2006/relationships/theme" Target="/xl/theme/theme1.xml" Id="Refb803a9517e4ec3" /><Relationship Type="http://schemas.openxmlformats.org/officeDocument/2006/relationships/sharedStrings" Target="/xl/sharedStrings.xml" Id="Rf0cc29e902744fe5" /><Relationship Type="http://schemas.openxmlformats.org/officeDocument/2006/relationships/worksheet" Target="/xl/worksheets/sheet1.xml" Id="R9b6311f103d24c4b" /><Relationship Type="http://schemas.openxmlformats.org/officeDocument/2006/relationships/worksheet" Target="/xl/worksheets/sheet2.xml" Id="R55222cd7a0dc4718" /><Relationship Type="http://schemas.openxmlformats.org/officeDocument/2006/relationships/worksheet" Target="/xl/worksheets/sheet3.xml" Id="R868530b1866f4789" /><Relationship Type="http://schemas.openxmlformats.org/officeDocument/2006/relationships/worksheet" Target="/xl/worksheets/sheet4.xml" Id="R986f09b579884d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ff8c520fca44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6578a467e2d4f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任务活跃效率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活跃效率</c:v>
          </c:tx>
          <c:cat>
            <c:strRef>
              <c:f>'任务配置'!$C$6:$C$17</c:f>
              <c:strCache>
                <c:ptCount val="0"/>
              </c:strCache>
            </c:strRef>
          </c:cat>
          <c:val>
            <c:numRef>
              <c:f>'任务配置'!$H$6:$H$17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三类路径增量耗时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增量分钟</c:v>
          </c:tx>
          <c:cat>
            <c:strRef>
              <c:f>'完成路径'!$A$16:$A$18</c:f>
              <c:strCache>
                <c:ptCount val="0"/>
              </c:strCache>
            </c:strRef>
          </c:cat>
          <c:val>
            <c:numRef>
              <c:f>'完成路径'!$E$16:$E$18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ff8c520fca44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578a467e2d4f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9f068abfd4f43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f3fc55e4f6b460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0" customHeight="1">
      <x:c r="A1" s="3" t="str">
        <x:v>王牌竞速日常任务系统数值模型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50" t="str">
        <x:v>核心问题：玩家需要完成哪些任务、花费多少时间，才能领取主要活跃奖励？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37" t="str">
        <x:v>模型结论</x:v>
      </x:c>
      <x:c r="B5" s="37" t="str">
        <x:v>模型结论</x:v>
      </x:c>
      <x:c r="C5" s="37" t="str">
        <x:v>模型结论</x:v>
      </x:c>
      <x:c r="D5" s="37" t="str">
        <x:v>模型结论</x:v>
      </x:c>
      <x:c r="E5" s="37" t="str">
        <x:v>模型结论</x:v>
      </x:c>
      <x:c r="F5" s="37" t="str">
        <x:v>模型结论</x:v>
      </x:c>
      <x:c r="G5" s="37" t="str">
        <x:v>模型结论</x:v>
      </x:c>
      <x:c r="H5" s="37" t="str">
        <x:v>模型结论</x:v>
      </x:c>
      <x:c r="I5" s="37" t="str">
        <x:v>模型结论</x:v>
      </x:c>
      <x:c r="J5" s="37" t="str">
        <x:v>模型结论</x:v>
      </x:c>
      <x:c r="K5" s="37" t="str">
        <x:v>模型结论</x:v>
      </x:c>
      <x:c r="L5" s="37" t="str">
        <x:v>模型结论</x:v>
      </x:c>
      <x:c r="M5" s="37" t="str">
        <x:v>模型结论</x:v>
      </x:c>
      <x:c r="N5" s="37" t="str">
        <x:v>模型结论</x:v>
      </x:c>
    </x:row>
    <x:row r="6">
      <x:c r="A6" s="10" t="str">
        <x:v>指标</x:v>
      </x:c>
      <x:c r="B6" s="10" t="str">
        <x:v>结果</x:v>
      </x:c>
      <x:c r="C6" s="2"/>
      <x:c r="D6" s="10" t="str">
        <x:v>路径</x:v>
      </x:c>
      <x:c r="E6" s="10" t="str">
        <x:v>结果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4" t="str">
        <x:v>任务数量</x:v>
      </x:c>
      <x:c r="B7" s="42" t="n">
        <x:f>COUNTA('任务配置'!A6:A17)</x:f>
        <x:v>12</x:v>
      </x:c>
      <x:c r="C7" s="2"/>
      <x:c r="D7" s="4" t="str">
        <x:v>轻度路径</x:v>
      </x:c>
      <x:c r="E7" s="4" t="str">
        <x:f>'完成路径'!E16&amp;" 分钟"</x:f>
        <x:v>3 分钟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4" t="str">
        <x:v>可获得总活跃度</x:v>
      </x:c>
      <x:c r="B8" s="43" t="n">
        <x:f>SUMPRODUCT('任务配置'!E6:E17,'任务配置'!G6:G17)</x:f>
        <x:v>150</x:v>
      </x:c>
      <x:c r="C8" s="2"/>
      <x:c r="D8" s="24" t="str">
        <x:v>普通路径</x:v>
      </x:c>
      <x:c r="E8" s="24" t="str">
        <x:f>'完成路径'!E17&amp;" 分钟"</x:f>
        <x:v>23 分钟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4" t="str">
        <x:v>最高奖励节点</x:v>
      </x:c>
      <x:c r="B9" s="43" t="n">
        <x:f>MAX('完成路径'!A7:A11)</x:f>
        <x:v>100</x:v>
      </x:c>
      <x:c r="C9" s="2"/>
      <x:c r="D9" s="24" t="str">
        <x:v>全勤路径</x:v>
      </x:c>
      <x:c r="E9" s="24" t="str">
        <x:f>'完成路径'!E18&amp;" 分钟"</x:f>
        <x:v>35 分钟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4" t="str">
        <x:v>活跃度冗余</x:v>
      </x:c>
      <x:c r="B10" s="43" t="n">
        <x:f>B8-B9</x:f>
        <x:v>50</x:v>
      </x:c>
      <x:c r="C10" s="2"/>
      <x:c r="D10" s="24" t="str">
        <x:v>普通奖励覆盖率</x:v>
      </x:c>
      <x:c r="E10" s="41" t="n">
        <x:f>'完成路径'!G17</x:f>
        <x:v>0.575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4" t="str">
        <x:v>普通路径分钟</x:v>
      </x:c>
      <x:c r="B11" s="43" t="n">
        <x:f>'完成路径'!E17</x:f>
        <x:v>23</x:v>
      </x:c>
      <x:c r="C11" s="2"/>
      <x:c r="D11" s="24" t="str">
        <x:v>全勤奖励覆盖率</x:v>
      </x:c>
      <x:c r="E11" s="41" t="n">
        <x:f>'完成路径'!G18</x:f>
        <x:v>1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37" t="str">
        <x:v>日常任务循环</x:v>
      </x:c>
      <x:c r="B14" s="37" t="str">
        <x:v>日常任务循环</x:v>
      </x:c>
      <x:c r="C14" s="37" t="str">
        <x:v>日常任务循环</x:v>
      </x:c>
      <x:c r="D14" s="37" t="str">
        <x:v>日常任务循环</x:v>
      </x:c>
      <x:c r="E14" s="37" t="str">
        <x:v>日常任务循环</x:v>
      </x:c>
      <x:c r="F14" s="37" t="str">
        <x:v>日常任务循环</x:v>
      </x:c>
      <x:c r="G14" s="37" t="str">
        <x:v>日常任务循环</x:v>
      </x:c>
      <x:c r="H14" s="37" t="str">
        <x:v>日常任务循环</x:v>
      </x:c>
      <x:c r="I14" s="37" t="str">
        <x:v>日常任务循环</x:v>
      </x:c>
      <x:c r="J14" s="37" t="str">
        <x:v>日常任务循环</x:v>
      </x:c>
      <x:c r="K14" s="37" t="str">
        <x:v>日常任务循环</x:v>
      </x:c>
      <x:c r="L14" s="37" t="str">
        <x:v>日常任务循环</x:v>
      </x:c>
      <x:c r="M14" s="37" t="str">
        <x:v>日常任务循环</x:v>
      </x:c>
      <x:c r="N14" s="37" t="str">
        <x:v>日常任务循环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55" t="str">
        <x:v>登录与查看任务</x:v>
      </x:c>
      <x:c r="B16" s="56" t="str">
        <x:v>登录与查看任务</x:v>
      </x:c>
      <x:c r="C16" s="2"/>
      <x:c r="D16" s="55" t="str">
        <x:v>进入对应玩法</x:v>
      </x:c>
      <x:c r="E16" s="56" t="str">
        <x:v>进入对应玩法</x:v>
      </x:c>
      <x:c r="F16" s="2"/>
      <x:c r="G16" s="55" t="str">
        <x:v>完成任务并获活跃度</x:v>
      </x:c>
      <x:c r="H16" s="56" t="str">
        <x:v>完成任务并获活跃度</x:v>
      </x:c>
      <x:c r="I16" s="2"/>
      <x:c r="J16" s="55" t="str">
        <x:v>领取节点奖励</x:v>
      </x:c>
      <x:c r="K16" s="56" t="str">
        <x:v>领取节点奖励</x:v>
      </x:c>
      <x:c r="L16" s="2"/>
      <x:c r="M16" s="55" t="str">
        <x:v>次日重置</x:v>
      </x:c>
      <x:c r="N16" s="56" t="str">
        <x:v>次日重置</x:v>
      </x:c>
    </x:row>
    <x:row r="17">
      <x:c r="A17" s="57" t="str">
        <x:v>登录与查看任务</x:v>
      </x:c>
      <x:c r="B17" s="58" t="str">
        <x:v>登录与查看任务</x:v>
      </x:c>
      <x:c r="C17" s="62" t="str">
        <x:v>→</x:v>
      </x:c>
      <x:c r="D17" s="57" t="str">
        <x:v>进入对应玩法</x:v>
      </x:c>
      <x:c r="E17" s="58" t="str">
        <x:v>进入对应玩法</x:v>
      </x:c>
      <x:c r="F17" s="62" t="str">
        <x:v>→</x:v>
      </x:c>
      <x:c r="G17" s="57" t="str">
        <x:v>完成任务并获活跃度</x:v>
      </x:c>
      <x:c r="H17" s="58" t="str">
        <x:v>完成任务并获活跃度</x:v>
      </x:c>
      <x:c r="I17" s="62" t="str">
        <x:v>→</x:v>
      </x:c>
      <x:c r="J17" s="57" t="str">
        <x:v>领取节点奖励</x:v>
      </x:c>
      <x:c r="K17" s="58" t="str">
        <x:v>领取节点奖励</x:v>
      </x:c>
      <x:c r="L17" s="62" t="str">
        <x:v>→</x:v>
      </x:c>
      <x:c r="M17" s="57" t="str">
        <x:v>次日重置</x:v>
      </x:c>
      <x:c r="N17" s="58" t="str">
        <x:v>次日重置</x:v>
      </x:c>
    </x:row>
    <x:row r="18">
      <x:c r="A18" s="59" t="str">
        <x:v>登录与查看任务</x:v>
      </x:c>
      <x:c r="B18" s="60" t="str">
        <x:v>登录与查看任务</x:v>
      </x:c>
      <x:c r="C18" s="2"/>
      <x:c r="D18" s="59" t="str">
        <x:v>进入对应玩法</x:v>
      </x:c>
      <x:c r="E18" s="60" t="str">
        <x:v>进入对应玩法</x:v>
      </x:c>
      <x:c r="F18" s="2"/>
      <x:c r="G18" s="59" t="str">
        <x:v>完成任务并获活跃度</x:v>
      </x:c>
      <x:c r="H18" s="60" t="str">
        <x:v>完成任务并获活跃度</x:v>
      </x:c>
      <x:c r="I18" s="2"/>
      <x:c r="J18" s="59" t="str">
        <x:v>领取节点奖励</x:v>
      </x:c>
      <x:c r="K18" s="60" t="str">
        <x:v>领取节点奖励</x:v>
      </x:c>
      <x:c r="L18" s="2"/>
      <x:c r="M18" s="59" t="str">
        <x:v>次日重置</x:v>
      </x:c>
      <x:c r="N18" s="60" t="str">
        <x:v>次日重置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37" t="str">
        <x:v>核心判断</x:v>
      </x:c>
      <x:c r="B22" s="37" t="str">
        <x:v>核心判断</x:v>
      </x:c>
      <x:c r="C22" s="37" t="str">
        <x:v>核心判断</x:v>
      </x:c>
      <x:c r="D22" s="37" t="str">
        <x:v>核心判断</x:v>
      </x:c>
      <x:c r="E22" s="37" t="str">
        <x:v>核心判断</x:v>
      </x:c>
      <x:c r="F22" s="37" t="str">
        <x:v>核心判断</x:v>
      </x:c>
      <x:c r="G22" s="37" t="str">
        <x:v>核心判断</x:v>
      </x:c>
      <x:c r="H22" s="37" t="str">
        <x:v>核心判断</x:v>
      </x:c>
      <x:c r="I22" s="37" t="str">
        <x:v>核心判断</x:v>
      </x:c>
      <x:c r="J22" s="37" t="str">
        <x:v>核心判断</x:v>
      </x:c>
      <x:c r="K22" s="37" t="str">
        <x:v>核心判断</x:v>
      </x:c>
      <x:c r="L22" s="37" t="str">
        <x:v>核心判断</x:v>
      </x:c>
      <x:c r="M22" s="37" t="str">
        <x:v>核心判断</x:v>
      </x:c>
      <x:c r="N22" s="37" t="str">
        <x:v>核心判断</x:v>
      </x:c>
    </x:row>
    <x:row r="23">
      <x:c r="A23" s="10" t="str">
        <x:v>序号</x:v>
      </x:c>
      <x:c r="B23" s="10" t="str">
        <x:v>结论</x:v>
      </x:c>
      <x:c r="C23" s="10"/>
      <x:c r="D23" s="10"/>
      <x:c r="E23" s="10"/>
      <x:c r="F23" s="10"/>
      <x:c r="G23" s="10" t="str">
        <x:v>证据</x:v>
      </x:c>
      <x:c r="H23" s="10"/>
      <x:c r="I23" s="10"/>
      <x:c r="J23" s="10"/>
      <x:c r="K23" s="10" t="str">
        <x:v>设计含义</x:v>
      </x:c>
      <x:c r="L23" s="10"/>
      <x:c r="M23" s="10"/>
      <x:c r="N23" s="10"/>
    </x:row>
    <x:row r="24" ht="36" customHeight="1">
      <x:c r="A24" s="48" t="n">
        <x:v>1</x:v>
      </x:c>
      <x:c r="B24" s="48" t="str">
        <x:v>普通路径不需要清空任务</x:v>
      </x:c>
      <x:c r="C24" s="48"/>
      <x:c r="D24" s="48"/>
      <x:c r="E24" s="48"/>
      <x:c r="F24" s="48"/>
      <x:c r="G24" s="48" t="str">
        <x:v>150点可得活跃度高于100点最高节点</x:v>
      </x:c>
      <x:c r="H24" s="48"/>
      <x:c r="I24" s="48"/>
      <x:c r="J24" s="48"/>
      <x:c r="K24" s="48" t="str">
        <x:v>冗余任务降低强制感</x:v>
      </x:c>
      <x:c r="L24" s="48"/>
      <x:c r="M24" s="48"/>
      <x:c r="N24" s="48"/>
    </x:row>
    <x:row r="25" ht="36" customHeight="1">
      <x:c r="A25" s="49" t="n">
        <x:v>2</x:v>
      </x:c>
      <x:c r="B25" s="49" t="str">
        <x:v>主要奖励约23分钟可达</x:v>
      </x:c>
      <x:c r="C25" s="49"/>
      <x:c r="D25" s="49"/>
      <x:c r="E25" s="49"/>
      <x:c r="F25" s="49"/>
      <x:c r="G25" s="49" t="str">
        <x:v>活跃效率排序后普通路径获得85点</x:v>
      </x:c>
      <x:c r="H25" s="49"/>
      <x:c r="I25" s="49"/>
      <x:c r="J25" s="49"/>
      <x:c r="K25" s="49" t="str">
        <x:v>符合短时竞速游戏的日常节奏</x:v>
      </x:c>
      <x:c r="L25" s="49"/>
      <x:c r="M25" s="49"/>
      <x:c r="N25" s="49"/>
    </x:row>
    <x:row r="26" ht="36" customHeight="1">
      <x:c r="A26" s="49" t="n">
        <x:v>3</x:v>
      </x:c>
      <x:c r="B26" s="49" t="str">
        <x:v>完整奖励边际耗时增加</x:v>
      </x:c>
      <x:c r="C26" s="49"/>
      <x:c r="D26" s="49"/>
      <x:c r="E26" s="49"/>
      <x:c r="F26" s="49"/>
      <x:c r="G26" s="49" t="str">
        <x:v>从普通到全勤增加12分钟</x:v>
      </x:c>
      <x:c r="H26" s="49"/>
      <x:c r="I26" s="49"/>
      <x:c r="J26" s="49"/>
      <x:c r="K26" s="49" t="str">
        <x:v>最后节点适合放高价值但非必需奖励</x:v>
      </x:c>
      <x:c r="L26" s="49"/>
      <x:c r="M26" s="49"/>
      <x:c r="N26" s="49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</x:sheetData>
  <x:mergeCells>
    <x:mergeCell ref="A1:N1"/>
    <x:mergeCell ref="A3:N3"/>
    <x:mergeCell ref="A5:N5"/>
    <x:mergeCell ref="A14:N14"/>
    <x:mergeCell ref="A16:B18"/>
    <x:mergeCell ref="D16:E18"/>
    <x:mergeCell ref="G16:H18"/>
    <x:mergeCell ref="J16:K18"/>
    <x:mergeCell ref="M16:N18"/>
    <x:mergeCell ref="A22:N22"/>
    <x:mergeCell ref="B23:F23"/>
    <x:mergeCell ref="G23:J23"/>
    <x:mergeCell ref="K23:N23"/>
    <x:mergeCell ref="B24:F24"/>
    <x:mergeCell ref="G24:J24"/>
    <x:mergeCell ref="K24:N24"/>
    <x:mergeCell ref="B25:F25"/>
    <x:mergeCell ref="G25:J25"/>
    <x:mergeCell ref="K25:N25"/>
    <x:mergeCell ref="B26:F26"/>
    <x:mergeCell ref="G26:J26"/>
    <x:mergeCell ref="K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0" customHeight="1">
      <x:c r="A1" s="3" t="str">
        <x:v>任务配置与单位效率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tr">
        <x:v>黄色单元格为可编辑示例参数。耗时使用增量分钟，避免同一场比赛同时满足多个任务时重复计算。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10" t="str">
        <x:v>任务ID</x:v>
      </x:c>
      <x:c r="B5" s="10" t="str">
        <x:v>类型</x:v>
      </x:c>
      <x:c r="C5" s="10" t="str">
        <x:v>任务名称</x:v>
      </x:c>
      <x:c r="D5" s="10" t="str">
        <x:v>增量分钟</x:v>
      </x:c>
      <x:c r="E5" s="10" t="str">
        <x:v>活跃度</x:v>
      </x:c>
      <x:c r="F5" s="10" t="str">
        <x:v>任务奖励价值</x:v>
      </x:c>
      <x:c r="G5" s="10" t="str">
        <x:v>每日次数</x:v>
      </x:c>
      <x:c r="H5" s="10" t="str">
        <x:v>活跃效率</x:v>
      </x:c>
      <x:c r="I5" s="10" t="str">
        <x:v>奖励效率</x:v>
      </x:c>
      <x:c r="J5" s="10" t="str">
        <x:v>口径</x:v>
      </x:c>
    </x:row>
    <x:row r="6">
      <x:c r="A6" s="4" t="str">
        <x:v>T01</x:v>
      </x:c>
      <x:c r="B6" s="4" t="str">
        <x:v>登录</x:v>
      </x:c>
      <x:c r="C6" s="4" t="str">
        <x:v>登录游戏</x:v>
      </x:c>
      <x:c r="D6" s="28" t="n">
        <x:v>0.5</x:v>
      </x:c>
      <x:c r="E6" s="30" t="n">
        <x:v>10</x:v>
      </x:c>
      <x:c r="F6" s="30" t="n">
        <x:v>20</x:v>
      </x:c>
      <x:c r="G6" s="31" t="n">
        <x:v>1</x:v>
      </x:c>
      <x:c r="H6" s="34" t="n">
        <x:f>IF(D6=0,IF(E6&gt;0,999,0),E6/D6)</x:f>
        <x:v>20</x:v>
      </x:c>
      <x:c r="I6" s="34" t="n">
        <x:f>IF(D6=0,IF(F6&gt;0,999,0),F6/D6)</x:f>
        <x:v>40</x:v>
      </x:c>
      <x:c r="J6" s="4" t="str">
        <x:v>示例参数</x:v>
      </x:c>
    </x:row>
    <x:row r="7">
      <x:c r="A7" s="24" t="str">
        <x:v>T02</x:v>
      </x:c>
      <x:c r="B7" s="24" t="str">
        <x:v>登录</x:v>
      </x:c>
      <x:c r="C7" s="24" t="str">
        <x:v>领取免费奖励</x:v>
      </x:c>
      <x:c r="D7" s="29" t="n">
        <x:v>0.5</x:v>
      </x:c>
      <x:c r="E7" s="32" t="n">
        <x:v>5</x:v>
      </x:c>
      <x:c r="F7" s="32" t="n">
        <x:v>15</x:v>
      </x:c>
      <x:c r="G7" s="33" t="n">
        <x:v>1</x:v>
      </x:c>
      <x:c r="H7" s="35" t="n">
        <x:f>IF(D7=0,IF(E7&gt;0,999,0),E7/D7)</x:f>
        <x:v>10</x:v>
      </x:c>
      <x:c r="I7" s="35" t="n">
        <x:f>IF(D7=0,IF(F7&gt;0,999,0),F7/D7)</x:f>
        <x:v>30</x:v>
      </x:c>
      <x:c r="J7" s="24" t="str">
        <x:v>示例参数</x:v>
      </x:c>
    </x:row>
    <x:row r="8">
      <x:c r="A8" s="24" t="str">
        <x:v>T03</x:v>
      </x:c>
      <x:c r="B8" s="24" t="str">
        <x:v>社交</x:v>
      </x:c>
      <x:c r="C8" s="24" t="str">
        <x:v>完成俱乐部签到</x:v>
      </x:c>
      <x:c r="D8" s="29" t="n">
        <x:v>1</x:v>
      </x:c>
      <x:c r="E8" s="32" t="n">
        <x:v>10</x:v>
      </x:c>
      <x:c r="F8" s="32" t="n">
        <x:v>30</x:v>
      </x:c>
      <x:c r="G8" s="33" t="n">
        <x:v>1</x:v>
      </x:c>
      <x:c r="H8" s="35" t="n">
        <x:f>IF(D8=0,IF(E8&gt;0,999,0),E8/D8)</x:f>
        <x:v>10</x:v>
      </x:c>
      <x:c r="I8" s="35" t="n">
        <x:f>IF(D8=0,IF(F8&gt;0,999,0),F8/D8)</x:f>
        <x:v>30</x:v>
      </x:c>
      <x:c r="J8" s="24" t="str">
        <x:v>示例参数</x:v>
      </x:c>
    </x:row>
    <x:row r="9">
      <x:c r="A9" s="24" t="str">
        <x:v>T04</x:v>
      </x:c>
      <x:c r="B9" s="24" t="str">
        <x:v>浏览</x:v>
      </x:c>
      <x:c r="C9" s="24" t="str">
        <x:v>查看当日活动</x:v>
      </x:c>
      <x:c r="D9" s="29" t="n">
        <x:v>1</x:v>
      </x:c>
      <x:c r="E9" s="32" t="n">
        <x:v>5</x:v>
      </x:c>
      <x:c r="F9" s="32" t="n">
        <x:v>15</x:v>
      </x:c>
      <x:c r="G9" s="33" t="n">
        <x:v>1</x:v>
      </x:c>
      <x:c r="H9" s="35" t="n">
        <x:f>IF(D9=0,IF(E9&gt;0,999,0),E9/D9)</x:f>
        <x:v>5</x:v>
      </x:c>
      <x:c r="I9" s="35" t="n">
        <x:f>IF(D9=0,IF(F9&gt;0,999,0),F9/D9)</x:f>
        <x:v>15</x:v>
      </x:c>
      <x:c r="J9" s="24" t="str">
        <x:v>示例参数</x:v>
      </x:c>
    </x:row>
    <x:row r="10">
      <x:c r="A10" s="24" t="str">
        <x:v>T05</x:v>
      </x:c>
      <x:c r="B10" s="24" t="str">
        <x:v>养成</x:v>
      </x:c>
      <x:c r="C10" s="24" t="str">
        <x:v>完成一次车辆或芯片强化</x:v>
      </x:c>
      <x:c r="D10" s="29" t="n">
        <x:v>2</x:v>
      </x:c>
      <x:c r="E10" s="32" t="n">
        <x:v>10</x:v>
      </x:c>
      <x:c r="F10" s="32" t="n">
        <x:v>25</x:v>
      </x:c>
      <x:c r="G10" s="33" t="n">
        <x:v>1</x:v>
      </x:c>
      <x:c r="H10" s="35" t="n">
        <x:f>IF(D10=0,IF(E10&gt;0,999,0),E10/D10)</x:f>
        <x:v>5</x:v>
      </x:c>
      <x:c r="I10" s="35" t="n">
        <x:f>IF(D10=0,IF(F10&gt;0,999,0),F10/D10)</x:f>
        <x:v>12.5</x:v>
      </x:c>
      <x:c r="J10" s="24" t="str">
        <x:v>示例参数</x:v>
      </x:c>
    </x:row>
    <x:row r="11">
      <x:c r="A11" s="24" t="str">
        <x:v>T06</x:v>
      </x:c>
      <x:c r="B11" s="24" t="str">
        <x:v>比赛</x:v>
      </x:c>
      <x:c r="C11" s="24" t="str">
        <x:v>完成1场比赛</x:v>
      </x:c>
      <x:c r="D11" s="29" t="n">
        <x:v>4</x:v>
      </x:c>
      <x:c r="E11" s="32" t="n">
        <x:v>15</x:v>
      </x:c>
      <x:c r="F11" s="32" t="n">
        <x:v>40</x:v>
      </x:c>
      <x:c r="G11" s="33" t="n">
        <x:v>1</x:v>
      </x:c>
      <x:c r="H11" s="35" t="n">
        <x:f>IF(D11=0,IF(E11&gt;0,999,0),E11/D11)</x:f>
        <x:v>3.75</x:v>
      </x:c>
      <x:c r="I11" s="35" t="n">
        <x:f>IF(D11=0,IF(F11&gt;0,999,0),F11/D11)</x:f>
        <x:v>10</x:v>
      </x:c>
      <x:c r="J11" s="24" t="str">
        <x:v>示例参数</x:v>
      </x:c>
    </x:row>
    <x:row r="12">
      <x:c r="A12" s="24" t="str">
        <x:v>T07</x:v>
      </x:c>
      <x:c r="B12" s="24" t="str">
        <x:v>比赛</x:v>
      </x:c>
      <x:c r="C12" s="24" t="str">
        <x:v>完成3场比赛</x:v>
      </x:c>
      <x:c r="D12" s="29" t="n">
        <x:v>12</x:v>
      </x:c>
      <x:c r="E12" s="32" t="n">
        <x:v>25</x:v>
      </x:c>
      <x:c r="F12" s="32" t="n">
        <x:v>80</x:v>
      </x:c>
      <x:c r="G12" s="33" t="n">
        <x:v>1</x:v>
      </x:c>
      <x:c r="H12" s="35" t="n">
        <x:f>IF(D12=0,IF(E12&gt;0,999,0),E12/D12)</x:f>
        <x:v>2.0833333333333335</x:v>
      </x:c>
      <x:c r="I12" s="35" t="n">
        <x:f>IF(D12=0,IF(F12&gt;0,999,0),F12/D12)</x:f>
        <x:v>6.666666666666667</x:v>
      </x:c>
      <x:c r="J12" s="24" t="str">
        <x:v>示例参数</x:v>
      </x:c>
    </x:row>
    <x:row r="13">
      <x:c r="A13" s="24" t="str">
        <x:v>T08</x:v>
      </x:c>
      <x:c r="B13" s="24" t="str">
        <x:v>表现</x:v>
      </x:c>
      <x:c r="C13" s="24" t="str">
        <x:v>达成一次指定比赛表现</x:v>
      </x:c>
      <x:c r="D13" s="29" t="n">
        <x:v>6</x:v>
      </x:c>
      <x:c r="E13" s="32" t="n">
        <x:v>10</x:v>
      </x:c>
      <x:c r="F13" s="32" t="n">
        <x:v>35</x:v>
      </x:c>
      <x:c r="G13" s="33" t="n">
        <x:v>1</x:v>
      </x:c>
      <x:c r="H13" s="35" t="n">
        <x:f>IF(D13=0,IF(E13&gt;0,999,0),E13/D13)</x:f>
        <x:v>1.6666666666666667</x:v>
      </x:c>
      <x:c r="I13" s="35" t="n">
        <x:f>IF(D13=0,IF(F13&gt;0,999,0),F13/D13)</x:f>
        <x:v>5.833333333333333</x:v>
      </x:c>
      <x:c r="J13" s="24" t="str">
        <x:v>示例参数</x:v>
      </x:c>
    </x:row>
    <x:row r="14">
      <x:c r="A14" s="24" t="str">
        <x:v>T09</x:v>
      </x:c>
      <x:c r="B14" s="24" t="str">
        <x:v>排位</x:v>
      </x:c>
      <x:c r="C14" s="24" t="str">
        <x:v>完成1场排位赛</x:v>
      </x:c>
      <x:c r="D14" s="29" t="n">
        <x:v>7</x:v>
      </x:c>
      <x:c r="E14" s="32" t="n">
        <x:v>15</x:v>
      </x:c>
      <x:c r="F14" s="32" t="n">
        <x:v>50</x:v>
      </x:c>
      <x:c r="G14" s="33" t="n">
        <x:v>1</x:v>
      </x:c>
      <x:c r="H14" s="35" t="n">
        <x:f>IF(D14=0,IF(E14&gt;0,999,0),E14/D14)</x:f>
        <x:v>2.142857142857143</x:v>
      </x:c>
      <x:c r="I14" s="35" t="n">
        <x:f>IF(D14=0,IF(F14&gt;0,999,0),F14/D14)</x:f>
        <x:v>7.142857142857143</x:v>
      </x:c>
      <x:c r="J14" s="24" t="str">
        <x:v>示例参数</x:v>
      </x:c>
    </x:row>
    <x:row r="15">
      <x:c r="A15" s="24" t="str">
        <x:v>T10</x:v>
      </x:c>
      <x:c r="B15" s="24" t="str">
        <x:v>挑战</x:v>
      </x:c>
      <x:c r="C15" s="24" t="str">
        <x:v>完成2场挑战赛</x:v>
      </x:c>
      <x:c r="D15" s="29" t="n">
        <x:v>8</x:v>
      </x:c>
      <x:c r="E15" s="32" t="n">
        <x:v>10</x:v>
      </x:c>
      <x:c r="F15" s="32" t="n">
        <x:v>45</x:v>
      </x:c>
      <x:c r="G15" s="33" t="n">
        <x:v>1</x:v>
      </x:c>
      <x:c r="H15" s="35" t="n">
        <x:f>IF(D15=0,IF(E15&gt;0,999,0),E15/D15)</x:f>
        <x:v>1.25</x:v>
      </x:c>
      <x:c r="I15" s="35" t="n">
        <x:f>IF(D15=0,IF(F15&gt;0,999,0),F15/D15)</x:f>
        <x:v>5.625</x:v>
      </x:c>
      <x:c r="J15" s="24" t="str">
        <x:v>示例参数</x:v>
      </x:c>
    </x:row>
    <x:row r="16">
      <x:c r="A16" s="24" t="str">
        <x:v>T11</x:v>
      </x:c>
      <x:c r="B16" s="24" t="str">
        <x:v>社交</x:v>
      </x:c>
      <x:c r="C16" s="24" t="str">
        <x:v>与好友组队完成1场</x:v>
      </x:c>
      <x:c r="D16" s="29" t="n">
        <x:v>7</x:v>
      </x:c>
      <x:c r="E16" s="32" t="n">
        <x:v>15</x:v>
      </x:c>
      <x:c r="F16" s="32" t="n">
        <x:v>55</x:v>
      </x:c>
      <x:c r="G16" s="33" t="n">
        <x:v>1</x:v>
      </x:c>
      <x:c r="H16" s="35" t="n">
        <x:f>IF(D16=0,IF(E16&gt;0,999,0),E16/D16)</x:f>
        <x:v>2.142857142857143</x:v>
      </x:c>
      <x:c r="I16" s="35" t="n">
        <x:f>IF(D16=0,IF(F16&gt;0,999,0),F16/D16)</x:f>
        <x:v>7.857142857142857</x:v>
      </x:c>
      <x:c r="J16" s="24" t="str">
        <x:v>示例参数</x:v>
      </x:c>
    </x:row>
    <x:row r="17">
      <x:c r="A17" s="24" t="str">
        <x:v>T12</x:v>
      </x:c>
      <x:c r="B17" s="24" t="str">
        <x:v>比赛</x:v>
      </x:c>
      <x:c r="C17" s="24" t="str">
        <x:v>累计完成5场比赛</x:v>
      </x:c>
      <x:c r="D17" s="29" t="n">
        <x:v>16</x:v>
      </x:c>
      <x:c r="E17" s="32" t="n">
        <x:v>20</x:v>
      </x:c>
      <x:c r="F17" s="32" t="n">
        <x:v>70</x:v>
      </x:c>
      <x:c r="G17" s="33" t="n">
        <x:v>1</x:v>
      </x:c>
      <x:c r="H17" s="35" t="n">
        <x:f>IF(D17=0,IF(E17&gt;0,999,0),E17/D17)</x:f>
        <x:v>1.25</x:v>
      </x:c>
      <x:c r="I17" s="35" t="n">
        <x:f>IF(D17=0,IF(F17&gt;0,999,0),F17/D17)</x:f>
        <x:v>4.375</x:v>
      </x:c>
      <x:c r="J17" s="24" t="str">
        <x:v>示例参数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</x:sheetData>
  <x:mergeCells>
    <x:mergeCell ref="A1:J1"/>
    <x:mergeCell ref="A3:J3"/>
  </x:mergeCells>
  <x:conditionalFormatting sqref="H6:H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19f068abfd4f4366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活跃度节点与玩家完成路径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5" t="str">
        <x:v>路径选择由Python按活跃效率生成；Excel负责展示和复算。修改参数后重新运行脚本可更新最优组合。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37" t="str">
        <x:v>活跃度奖励节点</x:v>
      </x:c>
      <x:c r="B5" s="37" t="str">
        <x:v>活跃度奖励节点</x:v>
      </x:c>
      <x:c r="C5" s="37" t="str">
        <x:v>活跃度奖励节点</x:v>
      </x:c>
      <x:c r="D5" s="37" t="str">
        <x:v>活跃度奖励节点</x:v>
      </x:c>
      <x:c r="E5" s="37" t="str">
        <x:v>活跃度奖励节点</x:v>
      </x:c>
      <x:c r="F5" s="37" t="str">
        <x:v>活跃度奖励节点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10" t="str">
        <x:v>节点活跃度</x:v>
      </x:c>
      <x:c r="B6" s="10" t="str">
        <x:v>单节点奖励价值</x:v>
      </x:c>
      <x:c r="C6" s="10" t="str">
        <x:v>累计奖励价值</x:v>
      </x:c>
      <x:c r="D6" s="10" t="str">
        <x:v>新增价值</x:v>
      </x:c>
      <x:c r="E6" s="10" t="str">
        <x:v>累计覆盖率</x:v>
      </x:c>
      <x:c r="F6" s="10" t="str">
        <x:v>设计作用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38" t="n">
        <x:v>20</x:v>
      </x:c>
      <x:c r="B7" s="38" t="n">
        <x:v>30</x:v>
      </x:c>
      <x:c r="C7" s="38" t="n">
        <x:f>B7</x:f>
        <x:v>30</x:v>
      </x:c>
      <x:c r="D7" s="38" t="n">
        <x:f>B7</x:f>
        <x:v>30</x:v>
      </x:c>
      <x:c r="E7" s="40" t="n">
        <x:f>C7/SUM($B$7:$B$11)</x:f>
        <x:v>0.075</x:v>
      </x:c>
      <x:c r="F7" s="4" t="str">
        <x:v>首次反馈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39" t="n">
        <x:v>40</x:v>
      </x:c>
      <x:c r="B8" s="39" t="n">
        <x:v>40</x:v>
      </x:c>
      <x:c r="C8" s="39" t="n">
        <x:f>C7+B8</x:f>
        <x:v>70</x:v>
      </x:c>
      <x:c r="D8" s="39" t="n">
        <x:f>B8</x:f>
        <x:v>40</x:v>
      </x:c>
      <x:c r="E8" s="41" t="n">
        <x:f>C8/SUM($B$7:$B$11)</x:f>
        <x:v>0.175</x:v>
      </x:c>
      <x:c r="F8" s="24" t="str">
        <x:v>基础留存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39" t="n">
        <x:v>60</x:v>
      </x:c>
      <x:c r="B9" s="39" t="n">
        <x:v>60</x:v>
      </x:c>
      <x:c r="C9" s="39" t="n">
        <x:f>C8+B9</x:f>
        <x:v>130</x:v>
      </x:c>
      <x:c r="D9" s="39" t="n">
        <x:f>B9</x:f>
        <x:v>60</x:v>
      </x:c>
      <x:c r="E9" s="41" t="n">
        <x:f>C9/SUM($B$7:$B$11)</x:f>
        <x:v>0.325</x:v>
      </x:c>
      <x:c r="F9" s="24" t="str">
        <x:v>过程奖励</x:v>
      </x:c>
      <x:c r="G9" s="2"/>
      <x:c r="H9" s="2"/>
      <x:c r="I9" s="2"/>
      <x:c r="J9" s="2"/>
      <x:c r="K9" s="2"/>
      <x:c r="L9" s="2"/>
      <x:c r="M9" s="2"/>
      <x:c r="N9" s="2"/>
    </x:row>
    <x:row r="10">
      <x:c r="A10" s="39" t="n">
        <x:v>80</x:v>
      </x:c>
      <x:c r="B10" s="39" t="n">
        <x:v>100</x:v>
      </x:c>
      <x:c r="C10" s="39" t="n">
        <x:f>C9+B10</x:f>
        <x:v>230</x:v>
      </x:c>
      <x:c r="D10" s="39" t="n">
        <x:f>B10</x:f>
        <x:v>100</x:v>
      </x:c>
      <x:c r="E10" s="41" t="n">
        <x:f>C10/SUM($B$7:$B$11)</x:f>
        <x:v>0.575</x:v>
      </x:c>
      <x:c r="F10" s="24" t="str">
        <x:v>主要奖励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A11" s="39" t="n">
        <x:v>100</x:v>
      </x:c>
      <x:c r="B11" s="39" t="n">
        <x:v>170</x:v>
      </x:c>
      <x:c r="C11" s="39" t="n">
        <x:f>C10+B11</x:f>
        <x:v>400</x:v>
      </x:c>
      <x:c r="D11" s="39" t="n">
        <x:f>B11</x:f>
        <x:v>170</x:v>
      </x:c>
      <x:c r="E11" s="41" t="n">
        <x:f>C11/SUM($B$7:$B$11)</x:f>
        <x:v>1</x:v>
      </x:c>
      <x:c r="F11" s="24" t="str">
        <x:v>完整奖励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37" t="str">
        <x:v>三类玩家路径</x:v>
      </x:c>
      <x:c r="B14" s="37" t="str">
        <x:v>三类玩家路径</x:v>
      </x:c>
      <x:c r="C14" s="37" t="str">
        <x:v>三类玩家路径</x:v>
      </x:c>
      <x:c r="D14" s="37" t="str">
        <x:v>三类玩家路径</x:v>
      </x:c>
      <x:c r="E14" s="37" t="str">
        <x:v>三类玩家路径</x:v>
      </x:c>
      <x:c r="F14" s="37" t="str">
        <x:v>三类玩家路径</x:v>
      </x:c>
      <x:c r="G14" s="37" t="str">
        <x:v>三类玩家路径</x:v>
      </x:c>
      <x:c r="H14" s="37" t="str">
        <x:v>三类玩家路径</x:v>
      </x:c>
      <x:c r="I14" s="2"/>
      <x:c r="J14" s="2"/>
      <x:c r="K14" s="2"/>
      <x:c r="L14" s="2"/>
      <x:c r="M14" s="2"/>
      <x:c r="N14" s="2"/>
    </x:row>
    <x:row r="15">
      <x:c r="A15" s="10" t="str">
        <x:v>路径</x:v>
      </x:c>
      <x:c r="B15" s="10" t="str">
        <x:v>目标活跃度</x:v>
      </x:c>
      <x:c r="C15" s="10" t="str">
        <x:v>实际活跃度</x:v>
      </x:c>
      <x:c r="D15" s="10" t="str">
        <x:v>任务数</x:v>
      </x:c>
      <x:c r="E15" s="10" t="str">
        <x:v>增量分钟</x:v>
      </x:c>
      <x:c r="F15" s="10" t="str">
        <x:v>节点奖励价值</x:v>
      </x:c>
      <x:c r="G15" s="10" t="str">
        <x:v>奖励覆盖率</x:v>
      </x:c>
      <x:c r="H15" s="10" t="str">
        <x:v>判断</x:v>
      </x:c>
      <x:c r="I15" s="2"/>
      <x:c r="J15" s="2"/>
      <x:c r="K15" s="2"/>
      <x:c r="L15" s="2"/>
      <x:c r="M15" s="2"/>
      <x:c r="N15" s="2"/>
    </x:row>
    <x:row r="16">
      <x:c r="A16" s="4" t="str">
        <x:v>轻度</x:v>
      </x:c>
      <x:c r="B16" s="42" t="n">
        <x:v>30</x:v>
      </x:c>
      <x:c r="C16" s="42" t="n">
        <x:v>30</x:v>
      </x:c>
      <x:c r="D16" s="42" t="n">
        <x:v>4</x:v>
      </x:c>
      <x:c r="E16" s="42" t="n">
        <x:v>3</x:v>
      </x:c>
      <x:c r="F16" s="42" t="n">
        <x:v>30</x:v>
      </x:c>
      <x:c r="G16" s="40" t="n">
        <x:v>0.075</x:v>
      </x:c>
      <x:c r="H16" s="4" t="str">
        <x:v>基础反馈</x:v>
      </x:c>
      <x:c r="I16" s="2"/>
      <x:c r="J16" s="2"/>
      <x:c r="K16" s="2"/>
      <x:c r="L16" s="2"/>
      <x:c r="M16" s="2"/>
      <x:c r="N16" s="2"/>
    </x:row>
    <x:row r="17">
      <x:c r="A17" s="24" t="str">
        <x:v>普通</x:v>
      </x:c>
      <x:c r="B17" s="43" t="n">
        <x:v>80</x:v>
      </x:c>
      <x:c r="C17" s="43" t="n">
        <x:v>85</x:v>
      </x:c>
      <x:c r="D17" s="43" t="n">
        <x:v>8</x:v>
      </x:c>
      <x:c r="E17" s="43" t="n">
        <x:v>23</x:v>
      </x:c>
      <x:c r="F17" s="43" t="n">
        <x:v>230</x:v>
      </x:c>
      <x:c r="G17" s="41" t="n">
        <x:v>0.575</x:v>
      </x:c>
      <x:c r="H17" s="24" t="str">
        <x:v>主要奖励可达</x:v>
      </x:c>
      <x:c r="I17" s="2"/>
      <x:c r="J17" s="2"/>
      <x:c r="K17" s="2"/>
      <x:c r="L17" s="2"/>
      <x:c r="M17" s="2"/>
      <x:c r="N17" s="2"/>
    </x:row>
    <x:row r="18">
      <x:c r="A18" s="24" t="str">
        <x:v>全勤</x:v>
      </x:c>
      <x:c r="B18" s="43" t="n">
        <x:v>100</x:v>
      </x:c>
      <x:c r="C18" s="43" t="n">
        <x:v>110</x:v>
      </x:c>
      <x:c r="D18" s="43" t="n">
        <x:v>9</x:v>
      </x:c>
      <x:c r="E18" s="43" t="n">
        <x:v>35</x:v>
      </x:c>
      <x:c r="F18" s="43" t="n">
        <x:v>400</x:v>
      </x:c>
      <x:c r="G18" s="41" t="n">
        <x:v>1</x:v>
      </x:c>
      <x:c r="H18" s="24" t="str">
        <x:v>完整奖励</x:v>
      </x:c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37" t="str">
        <x:v>路径任务选择 1表示选中</x:v>
      </x:c>
      <x:c r="B21" s="37" t="str">
        <x:v>路径任务选择 1表示选中</x:v>
      </x:c>
      <x:c r="C21" s="37" t="str">
        <x:v>路径任务选择 1表示选中</x:v>
      </x:c>
      <x:c r="D21" s="37" t="str">
        <x:v>路径任务选择 1表示选中</x:v>
      </x:c>
      <x:c r="E21" s="37" t="str">
        <x:v>路径任务选择 1表示选中</x:v>
      </x:c>
      <x:c r="F21" s="37" t="str">
        <x:v>路径任务选择 1表示选中</x:v>
      </x:c>
      <x:c r="G21" s="37" t="str">
        <x:v>路径任务选择 1表示选中</x:v>
      </x:c>
      <x:c r="H21" s="37" t="str">
        <x:v>路径任务选择 1表示选中</x:v>
      </x:c>
      <x:c r="I21" s="37" t="str">
        <x:v>路径任务选择 1表示选中</x:v>
      </x:c>
      <x:c r="J21" s="37" t="str">
        <x:v>路径任务选择 1表示选中</x:v>
      </x:c>
      <x:c r="K21" s="37" t="str">
        <x:v>路径任务选择 1表示选中</x:v>
      </x:c>
      <x:c r="L21" s="37" t="str">
        <x:v>路径任务选择 1表示选中</x:v>
      </x:c>
      <x:c r="M21" s="37" t="str">
        <x:v>路径任务选择 1表示选中</x:v>
      </x:c>
      <x:c r="N21" s="37" t="str">
        <x:v>路径任务选择 1表示选中</x:v>
      </x:c>
    </x:row>
    <x:row r="22">
      <x:c r="A22" s="10" t="str">
        <x:v>任务ID</x:v>
      </x:c>
      <x:c r="B22" s="10" t="str">
        <x:v>任务名称</x:v>
      </x:c>
      <x:c r="C22" s="10" t="str">
        <x:v>增量分钟</x:v>
      </x:c>
      <x:c r="D22" s="10" t="str">
        <x:v>活跃度</x:v>
      </x:c>
      <x:c r="E22" s="10" t="str">
        <x:v>轻度</x:v>
      </x:c>
      <x:c r="F22" s="10" t="str">
        <x:v>普通</x:v>
      </x:c>
      <x:c r="G22" s="10" t="str">
        <x:v>全勤</x:v>
      </x:c>
      <x:c r="H22" s="2"/>
      <x:c r="I22" s="2"/>
      <x:c r="J22" s="2"/>
      <x:c r="K22" s="2"/>
      <x:c r="L22" s="2"/>
      <x:c r="M22" s="2"/>
      <x:c r="N22" s="2"/>
    </x:row>
    <x:row r="23">
      <x:c r="A23" s="4" t="str">
        <x:v>T01</x:v>
      </x:c>
      <x:c r="B23" s="4" t="str">
        <x:v>登录游戏</x:v>
      </x:c>
      <x:c r="C23" s="4" t="n">
        <x:v>0.5</x:v>
      </x:c>
      <x:c r="D23" s="4" t="n">
        <x:v>10</x:v>
      </x:c>
      <x:c r="E23" s="45" t="n">
        <x:v>1</x:v>
      </x:c>
      <x:c r="F23" s="45" t="n">
        <x:v>1</x:v>
      </x:c>
      <x:c r="G23" s="45" t="n">
        <x:v>1</x:v>
      </x:c>
      <x:c r="H23" s="2"/>
      <x:c r="I23" s="2"/>
      <x:c r="J23" s="2"/>
      <x:c r="K23" s="2"/>
      <x:c r="L23" s="2"/>
      <x:c r="M23" s="2"/>
      <x:c r="N23" s="2"/>
    </x:row>
    <x:row r="24">
      <x:c r="A24" s="24" t="str">
        <x:v>T02</x:v>
      </x:c>
      <x:c r="B24" s="24" t="str">
        <x:v>领取免费奖励</x:v>
      </x:c>
      <x:c r="C24" s="24" t="n">
        <x:v>0.5</x:v>
      </x:c>
      <x:c r="D24" s="24" t="n">
        <x:v>5</x:v>
      </x:c>
      <x:c r="E24" s="46" t="n">
        <x:v>1</x:v>
      </x:c>
      <x:c r="F24" s="46" t="n">
        <x:v>1</x:v>
      </x:c>
      <x:c r="G24" s="46" t="n">
        <x:v>1</x:v>
      </x:c>
      <x:c r="H24" s="2"/>
      <x:c r="I24" s="2"/>
      <x:c r="J24" s="2"/>
      <x:c r="K24" s="2"/>
      <x:c r="L24" s="2"/>
      <x:c r="M24" s="2"/>
      <x:c r="N24" s="2"/>
    </x:row>
    <x:row r="25">
      <x:c r="A25" s="24" t="str">
        <x:v>T03</x:v>
      </x:c>
      <x:c r="B25" s="24" t="str">
        <x:v>完成俱乐部签到</x:v>
      </x:c>
      <x:c r="C25" s="24" t="n">
        <x:v>1</x:v>
      </x:c>
      <x:c r="D25" s="24" t="n">
        <x:v>10</x:v>
      </x:c>
      <x:c r="E25" s="46" t="n">
        <x:v>1</x:v>
      </x:c>
      <x:c r="F25" s="46" t="n">
        <x:v>1</x:v>
      </x:c>
      <x:c r="G25" s="46" t="n">
        <x:v>1</x:v>
      </x:c>
      <x:c r="H25" s="2"/>
      <x:c r="I25" s="2"/>
      <x:c r="J25" s="2"/>
      <x:c r="K25" s="2"/>
      <x:c r="L25" s="2"/>
      <x:c r="M25" s="2"/>
      <x:c r="N25" s="2"/>
    </x:row>
    <x:row r="26">
      <x:c r="A26" s="24" t="str">
        <x:v>T04</x:v>
      </x:c>
      <x:c r="B26" s="24" t="str">
        <x:v>查看当日活动</x:v>
      </x:c>
      <x:c r="C26" s="24" t="n">
        <x:v>1</x:v>
      </x:c>
      <x:c r="D26" s="24" t="n">
        <x:v>5</x:v>
      </x:c>
      <x:c r="E26" s="46" t="n">
        <x:v>1</x:v>
      </x:c>
      <x:c r="F26" s="46" t="n">
        <x:v>1</x:v>
      </x:c>
      <x:c r="G26" s="46" t="n">
        <x:v>1</x:v>
      </x:c>
      <x:c r="H26" s="2"/>
      <x:c r="I26" s="2"/>
      <x:c r="J26" s="2"/>
      <x:c r="K26" s="2"/>
      <x:c r="L26" s="2"/>
      <x:c r="M26" s="2"/>
      <x:c r="N26" s="2"/>
    </x:row>
    <x:row r="27">
      <x:c r="A27" s="24" t="str">
        <x:v>T05</x:v>
      </x:c>
      <x:c r="B27" s="24" t="str">
        <x:v>完成一次车辆或芯片强化</x:v>
      </x:c>
      <x:c r="C27" s="24" t="n">
        <x:v>2</x:v>
      </x:c>
      <x:c r="D27" s="24" t="n">
        <x:v>10</x:v>
      </x:c>
      <x:c r="E27" s="46" t="n">
        <x:v>0</x:v>
      </x:c>
      <x:c r="F27" s="46" t="n">
        <x:v>1</x:v>
      </x:c>
      <x:c r="G27" s="46" t="n">
        <x:v>1</x:v>
      </x:c>
      <x:c r="H27" s="2"/>
      <x:c r="I27" s="2"/>
      <x:c r="J27" s="2"/>
      <x:c r="K27" s="2"/>
      <x:c r="L27" s="2"/>
      <x:c r="M27" s="2"/>
      <x:c r="N27" s="2"/>
    </x:row>
    <x:row r="28">
      <x:c r="A28" s="24" t="str">
        <x:v>T06</x:v>
      </x:c>
      <x:c r="B28" s="24" t="str">
        <x:v>完成1场比赛</x:v>
      </x:c>
      <x:c r="C28" s="24" t="n">
        <x:v>4</x:v>
      </x:c>
      <x:c r="D28" s="24" t="n">
        <x:v>15</x:v>
      </x:c>
      <x:c r="E28" s="46" t="n">
        <x:v>0</x:v>
      </x:c>
      <x:c r="F28" s="46" t="n">
        <x:v>1</x:v>
      </x:c>
      <x:c r="G28" s="46" t="n">
        <x:v>1</x:v>
      </x:c>
      <x:c r="H28" s="2"/>
      <x:c r="I28" s="2"/>
      <x:c r="J28" s="2"/>
      <x:c r="K28" s="2"/>
      <x:c r="L28" s="2"/>
      <x:c r="M28" s="2"/>
      <x:c r="N28" s="2"/>
    </x:row>
    <x:row r="29">
      <x:c r="A29" s="24" t="str">
        <x:v>T07</x:v>
      </x:c>
      <x:c r="B29" s="24" t="str">
        <x:v>完成3场比赛</x:v>
      </x:c>
      <x:c r="C29" s="24" t="n">
        <x:v>12</x:v>
      </x:c>
      <x:c r="D29" s="24" t="n">
        <x:v>25</x:v>
      </x:c>
      <x:c r="E29" s="46" t="n">
        <x:v>0</x:v>
      </x:c>
      <x:c r="F29" s="46" t="n">
        <x:v>0</x:v>
      </x:c>
      <x:c r="G29" s="46" t="n">
        <x:v>1</x:v>
      </x:c>
      <x:c r="H29" s="2"/>
      <x:c r="I29" s="2"/>
      <x:c r="J29" s="2"/>
      <x:c r="K29" s="2"/>
      <x:c r="L29" s="2"/>
      <x:c r="M29" s="2"/>
      <x:c r="N29" s="2"/>
    </x:row>
    <x:row r="30">
      <x:c r="A30" s="24" t="str">
        <x:v>T08</x:v>
      </x:c>
      <x:c r="B30" s="24" t="str">
        <x:v>达成一次指定比赛表现</x:v>
      </x:c>
      <x:c r="C30" s="24" t="n">
        <x:v>6</x:v>
      </x:c>
      <x:c r="D30" s="24" t="n">
        <x:v>10</x:v>
      </x:c>
      <x:c r="E30" s="46" t="n">
        <x:v>0</x:v>
      </x:c>
      <x:c r="F30" s="46" t="n">
        <x:v>0</x:v>
      </x:c>
      <x:c r="G30" s="46" t="n">
        <x:v>0</x:v>
      </x:c>
      <x:c r="H30" s="2"/>
      <x:c r="I30" s="2"/>
      <x:c r="J30" s="2"/>
      <x:c r="K30" s="2"/>
      <x:c r="L30" s="2"/>
      <x:c r="M30" s="2"/>
      <x:c r="N30" s="2"/>
    </x:row>
    <x:row r="31">
      <x:c r="A31" s="24" t="str">
        <x:v>T09</x:v>
      </x:c>
      <x:c r="B31" s="24" t="str">
        <x:v>完成1场排位赛</x:v>
      </x:c>
      <x:c r="C31" s="24" t="n">
        <x:v>7</x:v>
      </x:c>
      <x:c r="D31" s="24" t="n">
        <x:v>15</x:v>
      </x:c>
      <x:c r="E31" s="46" t="n">
        <x:v>0</x:v>
      </x:c>
      <x:c r="F31" s="46" t="n">
        <x:v>1</x:v>
      </x:c>
      <x:c r="G31" s="46" t="n">
        <x:v>1</x:v>
      </x:c>
      <x:c r="H31" s="2"/>
      <x:c r="I31" s="2"/>
      <x:c r="J31" s="2"/>
      <x:c r="K31" s="2"/>
      <x:c r="L31" s="2"/>
      <x:c r="M31" s="2"/>
      <x:c r="N31" s="2"/>
    </x:row>
    <x:row r="32">
      <x:c r="A32" s="24" t="str">
        <x:v>T10</x:v>
      </x:c>
      <x:c r="B32" s="24" t="str">
        <x:v>完成2场挑战赛</x:v>
      </x:c>
      <x:c r="C32" s="24" t="n">
        <x:v>8</x:v>
      </x:c>
      <x:c r="D32" s="24" t="n">
        <x:v>10</x:v>
      </x:c>
      <x:c r="E32" s="46" t="n">
        <x:v>0</x:v>
      </x:c>
      <x:c r="F32" s="46" t="n">
        <x:v>0</x:v>
      </x:c>
      <x:c r="G32" s="46" t="n">
        <x:v>0</x:v>
      </x:c>
      <x:c r="H32" s="2"/>
      <x:c r="I32" s="2"/>
      <x:c r="J32" s="2"/>
      <x:c r="K32" s="2"/>
      <x:c r="L32" s="2"/>
      <x:c r="M32" s="2"/>
      <x:c r="N32" s="2"/>
    </x:row>
    <x:row r="33">
      <x:c r="A33" s="44" t="str">
        <x:v>T11</x:v>
      </x:c>
      <x:c r="B33" s="44" t="str">
        <x:v>与好友组队完成1场</x:v>
      </x:c>
      <x:c r="C33" s="44" t="n">
        <x:v>7</x:v>
      </x:c>
      <x:c r="D33" s="44" t="n">
        <x:v>15</x:v>
      </x:c>
      <x:c r="E33" s="47" t="n">
        <x:v>0</x:v>
      </x:c>
      <x:c r="F33" s="47" t="n">
        <x:v>1</x:v>
      </x:c>
      <x:c r="G33" s="47" t="n">
        <x:v>1</x:v>
      </x:c>
    </x:row>
    <x:row r="34">
      <x:c r="A34" s="44" t="str">
        <x:v>T12</x:v>
      </x:c>
      <x:c r="B34" s="44" t="str">
        <x:v>累计完成5场比赛</x:v>
      </x:c>
      <x:c r="C34" s="44" t="n">
        <x:v>16</x:v>
      </x:c>
      <x:c r="D34" s="44" t="n">
        <x:v>20</x:v>
      </x:c>
      <x:c r="E34" s="47" t="n">
        <x:v>0</x:v>
      </x:c>
      <x:c r="F34" s="47" t="n">
        <x:v>0</x:v>
      </x:c>
      <x:c r="G34" s="47" t="n">
        <x:v>0</x:v>
      </x:c>
    </x:row>
  </x:sheetData>
  <x:mergeCells>
    <x:mergeCell ref="A1:N1"/>
    <x:mergeCell ref="A3:N3"/>
    <x:mergeCell ref="A5:F5"/>
    <x:mergeCell ref="A14:H14"/>
    <x:mergeCell ref="A21:N21"/>
  </x:mergeCells>
  <x:conditionalFormatting sqref="E23:G34">
    <x:cfRule type="cellIs" dxfId="0" priority="1" operator="equal">
      <x:formula>1</x:formula>
    </x:cfRule>
  </x:conditionalFormatting>
  <x:pageMargins left="0.7" right="0.7" top="0.75" bottom="0.75" header="0.3" footer="0.3"/>
  <x:drawing xmlns:r="http://schemas.openxmlformats.org/officeDocument/2006/relationships" r:id="R3f3fc55e4f6b4609"/>
</x:worksheet>
</file>

<file path=xl/worksheets/sheet4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6" hidden="0" customWidth="1"/>
    <x:col min="4" max="4" width="28" hidden="0" customWidth="1"/>
    <x:col min="5" max="5" width="45" hidden="0" customWidth="1"/>
    <x:col min="6" max="6" width="12" hidden="0" customWidth="1"/>
    <x:col min="7" max="7" width="24" hidden="0" customWidth="1"/>
  </x:cols>
  <x:sheetData>
    <x:row r="1" ht="30" customHeight="1">
      <x:c r="A1" s="3" t="str">
        <x:v>数据来源与示例参数边界</x:v>
      </x:c>
      <x:c r="B1" s="2"/>
      <x:c r="C1" s="2"/>
      <x:c r="D1" s="2"/>
      <x:c r="E1" s="2"/>
      <x:c r="F1" s="2"/>
      <x:c r="G1" s="2"/>
    </x:row>
    <x:row r="2">
      <x:c r="A2" s="4"/>
      <x:c r="B2" s="4"/>
      <x:c r="C2" s="4"/>
      <x:c r="D2" s="4"/>
      <x:c r="E2" s="4"/>
      <x:c r="F2" s="4"/>
      <x:c r="G2" s="4"/>
    </x:row>
    <x:row r="3">
      <x:c r="A3" s="2"/>
      <x:c r="B3" s="2"/>
      <x:c r="C3" s="2"/>
      <x:c r="D3" s="2"/>
      <x:c r="E3" s="2"/>
      <x:c r="F3" s="2"/>
      <x:c r="G3" s="2"/>
    </x:row>
    <x:row r="4">
      <x:c r="A4" s="10" t="str">
        <x:v>类型</x:v>
      </x:c>
      <x:c r="B4" s="10" t="str">
        <x:v>来源</x:v>
      </x:c>
      <x:c r="C4" s="10" t="str">
        <x:v>日期/版本</x:v>
      </x:c>
      <x:c r="D4" s="10" t="str">
        <x:v>支持的系统事实</x:v>
      </x:c>
      <x:c r="E4" s="10" t="str">
        <x:v>网址</x:v>
      </x:c>
      <x:c r="F4" s="10" t="str">
        <x:v>可信度</x:v>
      </x:c>
      <x:c r="G4" s="10" t="str">
        <x:v>使用方式</x:v>
      </x:c>
    </x:row>
    <x:row r="5" ht="48" customHeight="1">
      <x:c r="A5" s="48" t="str">
        <x:v>官方公告</x:v>
      </x:c>
      <x:c r="B5" s="48" t="str">
        <x:v>开学福利更新公告</x:v>
      </x:c>
      <x:c r="C5" s="48" t="str">
        <x:v>2025-08</x:v>
      </x:c>
      <x:c r="D5" s="48" t="str">
        <x:v>每日任务与每日活跃可投放绑定纪念币</x:v>
      </x:c>
      <x:c r="E5" s="48" t="str">
        <x:v>https://bbs.4399.cn/thread-view-tid-50394317</x:v>
      </x:c>
      <x:c r="F5" s="48" t="str">
        <x:v>较高</x:v>
      </x:c>
      <x:c r="G5" s="48" t="str">
        <x:v>确认日常奖励存在</x:v>
      </x:c>
    </x:row>
    <x:row r="6" ht="48" customHeight="1">
      <x:c r="A6" s="49" t="str">
        <x:v>官方账号内容</x:v>
      </x:c>
      <x:c r="B6" s="49" t="str">
        <x:v>周末资源找回说明</x:v>
      </x:c>
      <x:c r="C6" s="49" t="str">
        <x:v>2024-08</x:v>
      </x:c>
      <x:c r="D6" s="49" t="str">
        <x:v>每日任务奖励与每日活跃进度可找回；满100活跃</x:v>
      </x:c>
      <x:c r="E6" s="49" t="str">
        <x:v>https://www.taptap.cn/moment/577201357144984643</x:v>
      </x:c>
      <x:c r="F6" s="49" t="str">
        <x:v>较高</x:v>
      </x:c>
      <x:c r="G6" s="49" t="str">
        <x:v>确认100点节点与减负方向</x:v>
      </x:c>
    </x:row>
    <x:row r="7" ht="48" customHeight="1">
      <x:c r="A7" s="49" t="str">
        <x:v>官方账号内容</x:v>
      </x:c>
      <x:c r="B7" s="49" t="str">
        <x:v>S18福利说明</x:v>
      </x:c>
      <x:c r="C7" s="49" t="str">
        <x:v>2023-11</x:v>
      </x:c>
      <x:c r="D7" s="49" t="str">
        <x:v>每日100活跃与每周600活跃奖励</x:v>
      </x:c>
      <x:c r="E7" s="49" t="str">
        <x:v>https://www.taptap.cn/moment/479227696656680701</x:v>
      </x:c>
      <x:c r="F7" s="49" t="str">
        <x:v>较高</x:v>
      </x:c>
      <x:c r="G7" s="49" t="str">
        <x:v>确认日周活跃结构</x:v>
      </x:c>
    </x:row>
    <x:row r="8" ht="48" customHeight="1">
      <x:c r="A8" s="49" t="str">
        <x:v>玩家攻略</x:v>
      </x:c>
      <x:c r="B8" s="49" t="str">
        <x:v>新手日常攻略</x:v>
      </x:c>
      <x:c r="C8" s="49" t="str">
        <x:v>2021-08</x:v>
      </x:c>
      <x:c r="D8" s="49" t="str">
        <x:v>比赛可同时承担练习与任务完成作用</x:v>
      </x:c>
      <x:c r="E8" s="49" t="str">
        <x:v>https://game.xiaomi.com/viewpoint/28314614_1628240944007_13</x:v>
      </x:c>
      <x:c r="F8" s="49" t="str">
        <x:v>中</x:v>
      </x:c>
      <x:c r="G8" s="49" t="str">
        <x:v>辅助理解玩家循环</x:v>
      </x:c>
    </x:row>
    <x:row r="9">
      <x:c r="A9" s="2"/>
      <x:c r="B9" s="2"/>
      <x:c r="C9" s="2"/>
      <x:c r="D9" s="2"/>
      <x:c r="E9" s="2"/>
      <x:c r="F9" s="2"/>
      <x:c r="G9" s="2"/>
    </x:row>
    <x:row r="10">
      <x:c r="A10" s="2"/>
      <x:c r="B10" s="2"/>
      <x:c r="C10" s="2"/>
      <x:c r="D10" s="2"/>
      <x:c r="E10" s="2"/>
      <x:c r="F10" s="2"/>
      <x:c r="G10" s="2"/>
    </x:row>
    <x:row r="11" ht="23" customHeight="1">
      <x:c r="A11" s="37" t="str">
        <x:v>示例参数说明</x:v>
      </x:c>
      <x:c r="B11" s="37" t="str">
        <x:v>示例参数说明</x:v>
      </x:c>
      <x:c r="C11" s="37" t="str">
        <x:v>示例参数说明</x:v>
      </x:c>
      <x:c r="D11" s="37" t="str">
        <x:v>示例参数说明</x:v>
      </x:c>
      <x:c r="E11" s="37" t="str">
        <x:v>示例参数说明</x:v>
      </x:c>
      <x:c r="F11" s="37" t="str">
        <x:v>示例参数说明</x:v>
      </x:c>
      <x:c r="G11" s="37" t="str">
        <x:v>示例参数说明</x:v>
      </x:c>
    </x:row>
    <x:row r="12">
      <x:c r="A12" s="10" t="str">
        <x:v>参数组</x:v>
      </x:c>
      <x:c r="B12" s="10" t="str">
        <x:v>性质</x:v>
      </x:c>
      <x:c r="C12" s="10" t="str">
        <x:v>用途</x:v>
      </x:c>
      <x:c r="D12" s="10" t="str">
        <x:v>是否官方数值</x:v>
      </x:c>
      <x:c r="E12" s="10" t="str">
        <x:v>更新方法</x:v>
      </x:c>
      <x:c r="F12" s="10" t="str">
        <x:v>主要风险</x:v>
      </x:c>
      <x:c r="G12" s="10" t="str">
        <x:v>处理原则</x:v>
      </x:c>
    </x:row>
    <x:row r="13" ht="42" customHeight="1">
      <x:c r="A13" s="48" t="str">
        <x:v>任务清单</x:v>
      </x:c>
      <x:c r="B13" s="48" t="str">
        <x:v>建模示例</x:v>
      </x:c>
      <x:c r="C13" s="48" t="str">
        <x:v>展示任务类型与完成路径</x:v>
      </x:c>
      <x:c r="D13" s="48" t="str">
        <x:v>否</x:v>
      </x:c>
      <x:c r="E13" s="48" t="str">
        <x:v>替换任务配置A6:G17</x:v>
      </x:c>
      <x:c r="F13" s="48" t="str">
        <x:v>版本任务不同</x:v>
      </x:c>
      <x:c r="G13" s="48" t="str">
        <x:v>不用于断言当前任务内容</x:v>
      </x:c>
    </x:row>
    <x:row r="14" ht="42" customHeight="1">
      <x:c r="A14" s="49" t="str">
        <x:v>增量耗时</x:v>
      </x:c>
      <x:c r="B14" s="49" t="str">
        <x:v>分析假设</x:v>
      </x:c>
      <x:c r="C14" s="49" t="str">
        <x:v>避免并行任务重复计时</x:v>
      </x:c>
      <x:c r="D14" s="49" t="str">
        <x:v>否</x:v>
      </x:c>
      <x:c r="E14" s="49" t="str">
        <x:v>通过实机录像校准</x:v>
      </x:c>
      <x:c r="F14" s="49" t="str">
        <x:v>玩家水平差异</x:v>
      </x:c>
      <x:c r="G14" s="49" t="str">
        <x:v>使用中位数与分层结果</x:v>
      </x:c>
    </x:row>
    <x:row r="15" ht="42" customHeight="1">
      <x:c r="A15" s="49" t="str">
        <x:v>任务奖励价值</x:v>
      </x:c>
      <x:c r="B15" s="49" t="str">
        <x:v>等价化示例</x:v>
      </x:c>
      <x:c r="C15" s="49" t="str">
        <x:v>跨资源比较任务收益</x:v>
      </x:c>
      <x:c r="D15" s="49" t="str">
        <x:v>否</x:v>
      </x:c>
      <x:c r="E15" s="49" t="str">
        <x:v>按资源稀缺度重估</x:v>
      </x:c>
      <x:c r="F15" s="49" t="str">
        <x:v>换算权重主观</x:v>
      </x:c>
      <x:c r="G15" s="49" t="str">
        <x:v>在参数区集中调整</x:v>
      </x:c>
    </x:row>
    <x:row r="16" ht="42" customHeight="1">
      <x:c r="A16" s="49" t="str">
        <x:v>100点奖励节点</x:v>
      </x:c>
      <x:c r="B16" s="49" t="str">
        <x:v>公开资料确认</x:v>
      </x:c>
      <x:c r="C16" s="49" t="str">
        <x:v>建立最高节点边界</x:v>
      </x:c>
      <x:c r="D16" s="49" t="str">
        <x:v>部分是</x:v>
      </x:c>
      <x:c r="E16" s="49" t="str">
        <x:v>按当前实机复核</x:v>
      </x:c>
      <x:c r="F16" s="49" t="str">
        <x:v>版本可能调整</x:v>
      </x:c>
      <x:c r="G16" s="49" t="str">
        <x:v>注明资料日期</x:v>
      </x:c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</x:sheetData>
  <x:mergeCells>
    <x:mergeCell ref="A1:G1"/>
    <x:mergeCell ref="A11:G11"/>
  </x:mergeCells>
  <x:pageMargins left="0.7" right="0.7" top="0.75" bottom="0.75" header="0.3" footer="0.3"/>
</x:worksheet>
</file>